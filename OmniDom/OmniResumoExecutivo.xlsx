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ci.oliveira\Desktop\Omni\"/>
    </mc:Choice>
  </mc:AlternateContent>
  <xr:revisionPtr revIDLastSave="0" documentId="13_ncr:1_{C120077C-7118-47ED-B62A-E713005607E2}" xr6:coauthVersionLast="47" xr6:coauthVersionMax="47" xr10:uidLastSave="{00000000-0000-0000-0000-000000000000}"/>
  <bookViews>
    <workbookView xWindow="20370" yWindow="-3060" windowWidth="29040" windowHeight="15840" xr2:uid="{248DFD80-E8D0-4D5F-82A8-B3B9A8DB9FF9}"/>
  </bookViews>
  <sheets>
    <sheet name="Om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4" i="1" l="1"/>
  <c r="AU14" i="1"/>
  <c r="AS14" i="1"/>
  <c r="AP8" i="1"/>
  <c r="AQ8" i="1" s="1"/>
  <c r="AV8" i="1" s="1"/>
  <c r="AP9" i="1"/>
  <c r="AQ9" i="1" s="1"/>
  <c r="AV9" i="1" s="1"/>
  <c r="AP10" i="1"/>
  <c r="AQ10" i="1" s="1"/>
  <c r="AV10" i="1" s="1"/>
  <c r="AP11" i="1"/>
  <c r="AQ11" i="1" s="1"/>
  <c r="AV11" i="1" s="1"/>
  <c r="AP12" i="1"/>
  <c r="AQ12" i="1" s="1"/>
  <c r="AV12" i="1" s="1"/>
  <c r="AP7" i="1"/>
  <c r="AQ7" i="1" s="1"/>
  <c r="AV7" i="1" s="1"/>
  <c r="AO14" i="1"/>
  <c r="AP14" i="1" s="1"/>
  <c r="AQ14" i="1" s="1"/>
  <c r="AV14" i="1" l="1"/>
</calcChain>
</file>

<file path=xl/sharedStrings.xml><?xml version="1.0" encoding="utf-8"?>
<sst xmlns="http://schemas.openxmlformats.org/spreadsheetml/2006/main" count="83" uniqueCount="54">
  <si>
    <t>SEG</t>
  </si>
  <si>
    <t>TER</t>
  </si>
  <si>
    <t>QUA</t>
  </si>
  <si>
    <t>QUI</t>
  </si>
  <si>
    <t>SEX</t>
  </si>
  <si>
    <t>SAB</t>
  </si>
  <si>
    <t>DOM</t>
  </si>
  <si>
    <t>Outubro</t>
  </si>
  <si>
    <t>Novembro</t>
  </si>
  <si>
    <t>Dezembro</t>
  </si>
  <si>
    <t>Janeiro</t>
  </si>
  <si>
    <t>Fevereiro</t>
  </si>
  <si>
    <t>Março</t>
  </si>
  <si>
    <t>d.u.</t>
  </si>
  <si>
    <t>Bradesco</t>
  </si>
  <si>
    <t>ZIVA</t>
  </si>
  <si>
    <t>ETLDom</t>
  </si>
  <si>
    <t>Horas
Totais</t>
  </si>
  <si>
    <t>Omni</t>
  </si>
  <si>
    <t>HORAS POR PROJETO</t>
  </si>
  <si>
    <t>x 2
Recursos</t>
  </si>
  <si>
    <t xml:space="preserve">  Finais de semana</t>
  </si>
  <si>
    <t xml:space="preserve">  Feriados</t>
  </si>
  <si>
    <t xml:space="preserve">  Levantamento e planejamento :</t>
  </si>
  <si>
    <t xml:space="preserve">  612 horas / 38 d.u.</t>
  </si>
  <si>
    <t xml:space="preserve">  Desenvolvimento :</t>
  </si>
  <si>
    <t xml:space="preserve">  640 horas / 40 d.u.</t>
  </si>
  <si>
    <t xml:space="preserve">  160 horas / 10 d.u.</t>
  </si>
  <si>
    <t xml:space="preserve">  Documentação :</t>
  </si>
  <si>
    <t xml:space="preserve">  1.412 horas </t>
  </si>
  <si>
    <t xml:space="preserve">  OmniDom - Esforço real</t>
  </si>
  <si>
    <t xml:space="preserve">  Total :</t>
  </si>
  <si>
    <t xml:space="preserve">  Engenheiro de SW</t>
  </si>
  <si>
    <t xml:space="preserve">  Desenvolvedor Frontend</t>
  </si>
  <si>
    <t xml:space="preserve">  Desenvolvedor Backend</t>
  </si>
  <si>
    <t xml:space="preserve">  DEVOPS</t>
  </si>
  <si>
    <t xml:space="preserve">  Tester </t>
  </si>
  <si>
    <t xml:space="preserve">  Gerente de Projetos</t>
  </si>
  <si>
    <t xml:space="preserve">  Líder de Projetos</t>
  </si>
  <si>
    <t>Ações de continuidade</t>
  </si>
  <si>
    <t>Alocação de um usuário Expert</t>
  </si>
  <si>
    <t>Revisar o que está pronto</t>
  </si>
  <si>
    <t>Ajustar possíveis gaps</t>
  </si>
  <si>
    <t>Gerar novo roadmap</t>
  </si>
  <si>
    <t>Definir estratégia de vendas (assinatura, volume financeiro, pedidos)</t>
  </si>
  <si>
    <t>Elaborar plano de implementação com esforço e datas</t>
  </si>
  <si>
    <t>Revisar o roadmap (futuro)</t>
  </si>
  <si>
    <t xml:space="preserve">  Designer</t>
  </si>
  <si>
    <t>Determinar e entender novos canais, além do Mercado Livre e Shopee</t>
  </si>
  <si>
    <t xml:space="preserve">  Projeto OminiDom</t>
  </si>
  <si>
    <t xml:space="preserve">  Suporte Bradesco</t>
  </si>
  <si>
    <t xml:space="preserve">  Suporte ETLDom</t>
  </si>
  <si>
    <t xml:space="preserve">  Migração ZIVA</t>
  </si>
  <si>
    <t>Equipe (perfis exigidos)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</si>
</sst>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" fontId="1" fillId="0" borderId="14" xfId="0" applyNumberFormat="1" applyFont="1" applyBorder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  <xf numFmtId="1" fontId="1" fillId="0" borderId="15" xfId="0" applyNumberFormat="1" applyFont="1" applyBorder="1" applyAlignment="1">
      <alignment horizontal="left" vertical="center" indent="1"/>
    </xf>
    <xf numFmtId="1" fontId="2" fillId="0" borderId="0" xfId="0" applyNumberFormat="1" applyFont="1"/>
    <xf numFmtId="0" fontId="1" fillId="0" borderId="16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left" vertical="center" indent="1"/>
    </xf>
    <xf numFmtId="1" fontId="1" fillId="0" borderId="7" xfId="0" applyNumberFormat="1" applyFont="1" applyBorder="1" applyAlignment="1">
      <alignment horizontal="left" vertical="center" indent="1"/>
    </xf>
    <xf numFmtId="1" fontId="1" fillId="0" borderId="8" xfId="0" applyNumberFormat="1" applyFont="1" applyBorder="1" applyAlignment="1">
      <alignment horizontal="left" vertical="center" indent="1"/>
    </xf>
    <xf numFmtId="3" fontId="3" fillId="3" borderId="13" xfId="0" applyNumberFormat="1" applyFont="1" applyFill="1" applyBorder="1" applyAlignment="1">
      <alignment horizontal="center"/>
    </xf>
    <xf numFmtId="1" fontId="1" fillId="0" borderId="15" xfId="0" applyNumberFormat="1" applyFont="1" applyBorder="1"/>
    <xf numFmtId="1" fontId="1" fillId="0" borderId="1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left" vertical="center" indent="2"/>
    </xf>
    <xf numFmtId="1" fontId="1" fillId="0" borderId="7" xfId="0" applyNumberFormat="1" applyFont="1" applyBorder="1" applyAlignment="1">
      <alignment horizontal="left" vertical="center" indent="2"/>
    </xf>
    <xf numFmtId="1" fontId="1" fillId="0" borderId="8" xfId="0" applyNumberFormat="1" applyFont="1" applyBorder="1" applyAlignment="1">
      <alignment horizontal="left" vertical="center" indent="2"/>
    </xf>
    <xf numFmtId="1" fontId="1" fillId="0" borderId="14" xfId="0" applyNumberFormat="1" applyFont="1" applyBorder="1" applyAlignment="1">
      <alignment horizontal="left" vertical="center" indent="2"/>
    </xf>
    <xf numFmtId="1" fontId="1" fillId="0" borderId="0" xfId="0" applyNumberFormat="1" applyFont="1" applyAlignment="1">
      <alignment horizontal="left" vertical="center" indent="2"/>
    </xf>
    <xf numFmtId="1" fontId="1" fillId="0" borderId="15" xfId="0" applyNumberFormat="1" applyFont="1" applyBorder="1" applyAlignment="1">
      <alignment horizontal="left" vertical="center" indent="2"/>
    </xf>
    <xf numFmtId="1" fontId="1" fillId="0" borderId="3" xfId="0" applyNumberFormat="1" applyFont="1" applyBorder="1" applyAlignment="1">
      <alignment horizontal="left" vertical="center" indent="2"/>
    </xf>
    <xf numFmtId="1" fontId="1" fillId="0" borderId="4" xfId="0" applyNumberFormat="1" applyFont="1" applyBorder="1" applyAlignment="1">
      <alignment horizontal="left" vertical="center" indent="2"/>
    </xf>
    <xf numFmtId="1" fontId="1" fillId="0" borderId="5" xfId="0" applyNumberFormat="1" applyFont="1" applyBorder="1" applyAlignment="1">
      <alignment horizontal="left" vertical="center" indent="2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  <xf numFmtId="1" fontId="1" fillId="0" borderId="15" xfId="0" applyNumberFormat="1" applyFont="1" applyBorder="1" applyAlignment="1">
      <alignment horizontal="left" vertical="center" indent="1"/>
    </xf>
    <xf numFmtId="1" fontId="1" fillId="0" borderId="26" xfId="0" applyNumberFormat="1" applyFont="1" applyBorder="1" applyAlignment="1">
      <alignment horizontal="right" vertic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28" xfId="0" applyNumberFormat="1" applyFont="1" applyBorder="1" applyAlignment="1">
      <alignment horizontal="left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left" vertical="center" indent="1"/>
    </xf>
    <xf numFmtId="1" fontId="1" fillId="0" borderId="4" xfId="0" applyNumberFormat="1" applyFont="1" applyBorder="1" applyAlignment="1">
      <alignment horizontal="left" vertical="center" indent="1"/>
    </xf>
    <xf numFmtId="1" fontId="1" fillId="0" borderId="5" xfId="0" applyNumberFormat="1" applyFont="1" applyBorder="1" applyAlignment="1">
      <alignment horizontal="left" vertical="center" indent="1"/>
    </xf>
    <xf numFmtId="1" fontId="1" fillId="0" borderId="22" xfId="0" applyNumberFormat="1" applyFont="1" applyBorder="1" applyAlignment="1">
      <alignment horizontal="left" vertical="center"/>
    </xf>
    <xf numFmtId="1" fontId="1" fillId="0" borderId="23" xfId="0" applyNumberFormat="1" applyFont="1" applyBorder="1" applyAlignment="1">
      <alignment horizontal="left" vertical="center"/>
    </xf>
    <xf numFmtId="1" fontId="1" fillId="0" borderId="24" xfId="0" applyNumberFormat="1" applyFont="1" applyBorder="1" applyAlignment="1">
      <alignment horizontal="right" vertical="center"/>
    </xf>
    <xf numFmtId="1" fontId="1" fillId="0" borderId="17" xfId="0" applyNumberFormat="1" applyFont="1" applyBorder="1" applyAlignment="1">
      <alignment horizontal="right" vertical="center"/>
    </xf>
    <xf numFmtId="1" fontId="1" fillId="0" borderId="17" xfId="0" applyNumberFormat="1" applyFont="1" applyBorder="1" applyAlignment="1">
      <alignment horizontal="left" vertical="center"/>
    </xf>
    <xf numFmtId="1" fontId="1" fillId="0" borderId="25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21" xfId="0" applyNumberFormat="1" applyFont="1" applyBorder="1" applyAlignment="1">
      <alignment horizontal="right" vertical="center"/>
    </xf>
    <xf numFmtId="1" fontId="1" fillId="0" borderId="22" xfId="0" applyNumberFormat="1" applyFont="1" applyBorder="1" applyAlignment="1">
      <alignment horizontal="right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D79E-FA0D-4A7B-9EB9-2A8128A77897}">
  <dimension ref="B3:AV36"/>
  <sheetViews>
    <sheetView showGridLines="0" tabSelected="1" workbookViewId="0">
      <selection activeCell="L40" sqref="L40"/>
    </sheetView>
  </sheetViews>
  <sheetFormatPr defaultRowHeight="12" x14ac:dyDescent="0.2"/>
  <cols>
    <col min="1" max="1" width="3.28515625" style="3" customWidth="1"/>
    <col min="2" max="2" width="9.28515625" style="3" customWidth="1"/>
    <col min="3" max="3" width="1.7109375" style="4" customWidth="1"/>
    <col min="4" max="39" width="4.7109375" style="4" customWidth="1"/>
    <col min="40" max="40" width="1.7109375" style="4" customWidth="1"/>
    <col min="41" max="41" width="4.7109375" style="4" customWidth="1"/>
    <col min="42" max="42" width="7" style="4" customWidth="1"/>
    <col min="43" max="43" width="8.42578125" style="4" customWidth="1"/>
    <col min="44" max="44" width="1.7109375" style="4" customWidth="1"/>
    <col min="45" max="47" width="7.7109375" style="8" customWidth="1"/>
    <col min="48" max="48" width="9.140625" style="4"/>
    <col min="49" max="49" width="4.85546875" style="3" bestFit="1" customWidth="1"/>
    <col min="50" max="50" width="5.5703125" style="3" customWidth="1"/>
    <col min="51" max="51" width="9.140625" style="3"/>
    <col min="52" max="52" width="13.140625" style="3" bestFit="1" customWidth="1"/>
    <col min="53" max="16384" width="9.140625" style="3"/>
  </cols>
  <sheetData>
    <row r="3" spans="2:48" ht="12.75" thickBot="1" x14ac:dyDescent="0.25"/>
    <row r="4" spans="2:48" ht="15" customHeight="1" thickBot="1" x14ac:dyDescent="0.25">
      <c r="AO4" s="67" t="s">
        <v>13</v>
      </c>
      <c r="AP4" s="69" t="s">
        <v>17</v>
      </c>
      <c r="AQ4" s="69" t="s">
        <v>20</v>
      </c>
      <c r="AR4" s="11"/>
      <c r="AS4" s="70" t="s">
        <v>19</v>
      </c>
      <c r="AT4" s="71"/>
      <c r="AU4" s="71"/>
      <c r="AV4" s="72"/>
    </row>
    <row r="5" spans="2:48" s="1" customFormat="1" ht="14.25" thickBot="1" x14ac:dyDescent="0.25">
      <c r="C5" s="2"/>
      <c r="D5" s="12" t="s">
        <v>5</v>
      </c>
      <c r="E5" s="12" t="s">
        <v>6</v>
      </c>
      <c r="F5" s="12" t="s">
        <v>0</v>
      </c>
      <c r="G5" s="12" t="s">
        <v>1</v>
      </c>
      <c r="H5" s="12" t="s">
        <v>2</v>
      </c>
      <c r="I5" s="12" t="s">
        <v>3</v>
      </c>
      <c r="J5" s="12" t="s">
        <v>4</v>
      </c>
      <c r="K5" s="12" t="s">
        <v>5</v>
      </c>
      <c r="L5" s="12" t="s">
        <v>6</v>
      </c>
      <c r="M5" s="12" t="s">
        <v>0</v>
      </c>
      <c r="N5" s="12" t="s">
        <v>1</v>
      </c>
      <c r="O5" s="12" t="s">
        <v>2</v>
      </c>
      <c r="P5" s="12" t="s">
        <v>3</v>
      </c>
      <c r="Q5" s="12" t="s">
        <v>4</v>
      </c>
      <c r="R5" s="12" t="s">
        <v>5</v>
      </c>
      <c r="S5" s="12" t="s">
        <v>6</v>
      </c>
      <c r="T5" s="12" t="s">
        <v>0</v>
      </c>
      <c r="U5" s="12" t="s">
        <v>1</v>
      </c>
      <c r="V5" s="12" t="s">
        <v>2</v>
      </c>
      <c r="W5" s="12" t="s">
        <v>3</v>
      </c>
      <c r="X5" s="12" t="s">
        <v>4</v>
      </c>
      <c r="Y5" s="12" t="s">
        <v>5</v>
      </c>
      <c r="Z5" s="12" t="s">
        <v>6</v>
      </c>
      <c r="AA5" s="12" t="s">
        <v>0</v>
      </c>
      <c r="AB5" s="12" t="s">
        <v>1</v>
      </c>
      <c r="AC5" s="12" t="s">
        <v>2</v>
      </c>
      <c r="AD5" s="12" t="s">
        <v>3</v>
      </c>
      <c r="AE5" s="12" t="s">
        <v>4</v>
      </c>
      <c r="AF5" s="12" t="s">
        <v>5</v>
      </c>
      <c r="AG5" s="12" t="s">
        <v>6</v>
      </c>
      <c r="AH5" s="12" t="s">
        <v>0</v>
      </c>
      <c r="AI5" s="12" t="s">
        <v>1</v>
      </c>
      <c r="AJ5" s="12" t="s">
        <v>2</v>
      </c>
      <c r="AK5" s="12" t="s">
        <v>3</v>
      </c>
      <c r="AL5" s="12" t="s">
        <v>4</v>
      </c>
      <c r="AM5" s="12" t="s">
        <v>5</v>
      </c>
      <c r="AN5" s="2"/>
      <c r="AO5" s="68"/>
      <c r="AP5" s="68"/>
      <c r="AQ5" s="73"/>
      <c r="AR5" s="11"/>
      <c r="AS5" s="12" t="s">
        <v>14</v>
      </c>
      <c r="AT5" s="12" t="s">
        <v>15</v>
      </c>
      <c r="AU5" s="12" t="s">
        <v>16</v>
      </c>
      <c r="AV5" s="13" t="s">
        <v>18</v>
      </c>
    </row>
    <row r="6" spans="2:48" s="1" customFormat="1" x14ac:dyDescent="0.2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7"/>
      <c r="AT6" s="7"/>
      <c r="AU6" s="7"/>
      <c r="AV6" s="2"/>
    </row>
    <row r="7" spans="2:48" s="1" customFormat="1" x14ac:dyDescent="0.2">
      <c r="B7" s="22" t="s">
        <v>7</v>
      </c>
      <c r="C7" s="2"/>
      <c r="D7" s="5"/>
      <c r="E7" s="5"/>
      <c r="F7" s="5"/>
      <c r="G7" s="5"/>
      <c r="H7" s="5"/>
      <c r="I7" s="5">
        <v>23</v>
      </c>
      <c r="J7" s="5">
        <v>24</v>
      </c>
      <c r="K7" s="14">
        <v>25</v>
      </c>
      <c r="L7" s="14">
        <v>26</v>
      </c>
      <c r="M7" s="5">
        <v>27</v>
      </c>
      <c r="N7" s="5">
        <v>28</v>
      </c>
      <c r="O7" s="5">
        <v>29</v>
      </c>
      <c r="P7" s="5">
        <v>30</v>
      </c>
      <c r="Q7" s="5">
        <v>31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2"/>
      <c r="AO7" s="15">
        <v>7</v>
      </c>
      <c r="AP7" s="15">
        <f>AO7*8</f>
        <v>56</v>
      </c>
      <c r="AQ7" s="15">
        <f>AP7*2</f>
        <v>112</v>
      </c>
      <c r="AR7" s="9"/>
      <c r="AS7" s="16"/>
      <c r="AT7" s="16"/>
      <c r="AU7" s="16"/>
      <c r="AV7" s="15">
        <f>AQ7-SUM(AS7:AU7)</f>
        <v>112</v>
      </c>
    </row>
    <row r="8" spans="2:48" s="1" customFormat="1" x14ac:dyDescent="0.2">
      <c r="B8" s="22" t="s">
        <v>8</v>
      </c>
      <c r="C8" s="2"/>
      <c r="D8" s="14">
        <v>1</v>
      </c>
      <c r="E8" s="14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14">
        <v>8</v>
      </c>
      <c r="L8" s="14">
        <v>9</v>
      </c>
      <c r="M8" s="5">
        <v>10</v>
      </c>
      <c r="N8" s="5">
        <v>11</v>
      </c>
      <c r="O8" s="75">
        <v>12</v>
      </c>
      <c r="P8" s="75">
        <v>13</v>
      </c>
      <c r="Q8" s="75">
        <v>14</v>
      </c>
      <c r="R8" s="14">
        <v>15</v>
      </c>
      <c r="S8" s="14">
        <v>16</v>
      </c>
      <c r="T8" s="5">
        <v>17</v>
      </c>
      <c r="U8" s="5">
        <v>18</v>
      </c>
      <c r="V8" s="5">
        <v>19</v>
      </c>
      <c r="W8" s="6">
        <v>20</v>
      </c>
      <c r="X8" s="5">
        <v>21</v>
      </c>
      <c r="Y8" s="14">
        <v>22</v>
      </c>
      <c r="Z8" s="14">
        <v>23</v>
      </c>
      <c r="AA8" s="75">
        <v>24</v>
      </c>
      <c r="AB8" s="75">
        <v>25</v>
      </c>
      <c r="AC8" s="76">
        <v>26</v>
      </c>
      <c r="AD8" s="76">
        <v>27</v>
      </c>
      <c r="AE8" s="76">
        <v>28</v>
      </c>
      <c r="AF8" s="14">
        <v>29</v>
      </c>
      <c r="AG8" s="14">
        <v>30</v>
      </c>
      <c r="AH8" s="5"/>
      <c r="AI8" s="5"/>
      <c r="AJ8" s="5"/>
      <c r="AK8" s="5"/>
      <c r="AL8" s="5"/>
      <c r="AM8" s="5"/>
      <c r="AN8" s="2"/>
      <c r="AO8" s="15">
        <v>19</v>
      </c>
      <c r="AP8" s="15">
        <f t="shared" ref="AP8:AP14" si="0">AO8*8</f>
        <v>152</v>
      </c>
      <c r="AQ8" s="15">
        <f t="shared" ref="AQ8:AQ14" si="1">AP8*2</f>
        <v>304</v>
      </c>
      <c r="AR8" s="9"/>
      <c r="AS8" s="16">
        <v>36</v>
      </c>
      <c r="AT8" s="16"/>
      <c r="AU8" s="16"/>
      <c r="AV8" s="15">
        <f t="shared" ref="AV8:AV12" si="2">AQ8-SUM(AS8:AU8)</f>
        <v>268</v>
      </c>
    </row>
    <row r="9" spans="2:48" s="1" customFormat="1" x14ac:dyDescent="0.2">
      <c r="B9" s="22" t="s">
        <v>9</v>
      </c>
      <c r="C9" s="2"/>
      <c r="D9" s="5"/>
      <c r="E9" s="5"/>
      <c r="F9" s="75">
        <v>1</v>
      </c>
      <c r="G9" s="74">
        <v>2</v>
      </c>
      <c r="H9" s="75">
        <v>3</v>
      </c>
      <c r="I9" s="5">
        <v>4</v>
      </c>
      <c r="J9" s="5">
        <v>5</v>
      </c>
      <c r="K9" s="14">
        <v>6</v>
      </c>
      <c r="L9" s="14">
        <v>7</v>
      </c>
      <c r="M9" s="5">
        <v>8</v>
      </c>
      <c r="N9" s="5">
        <v>9</v>
      </c>
      <c r="O9" s="5">
        <v>10</v>
      </c>
      <c r="P9" s="5">
        <v>11</v>
      </c>
      <c r="Q9" s="5">
        <v>12</v>
      </c>
      <c r="R9" s="14">
        <v>13</v>
      </c>
      <c r="S9" s="14">
        <v>14</v>
      </c>
      <c r="T9" s="77">
        <v>15</v>
      </c>
      <c r="U9" s="77">
        <v>16</v>
      </c>
      <c r="V9" s="77">
        <v>17</v>
      </c>
      <c r="W9" s="77">
        <v>18</v>
      </c>
      <c r="X9" s="77">
        <v>19</v>
      </c>
      <c r="Y9" s="14">
        <v>20</v>
      </c>
      <c r="Z9" s="14">
        <v>21</v>
      </c>
      <c r="AA9" s="75">
        <v>22</v>
      </c>
      <c r="AB9" s="5">
        <v>23</v>
      </c>
      <c r="AC9" s="5">
        <v>24</v>
      </c>
      <c r="AD9" s="6">
        <v>25</v>
      </c>
      <c r="AE9" s="5">
        <v>26</v>
      </c>
      <c r="AF9" s="14">
        <v>27</v>
      </c>
      <c r="AG9" s="14">
        <v>28</v>
      </c>
      <c r="AH9" s="5">
        <v>29</v>
      </c>
      <c r="AI9" s="5">
        <v>30</v>
      </c>
      <c r="AJ9" s="5">
        <v>31</v>
      </c>
      <c r="AK9" s="5"/>
      <c r="AL9" s="5"/>
      <c r="AM9" s="5"/>
      <c r="AN9" s="2"/>
      <c r="AO9" s="15">
        <v>22</v>
      </c>
      <c r="AP9" s="15">
        <f t="shared" si="0"/>
        <v>176</v>
      </c>
      <c r="AQ9" s="15">
        <f t="shared" si="1"/>
        <v>352</v>
      </c>
      <c r="AR9" s="9"/>
      <c r="AS9" s="16"/>
      <c r="AT9" s="16">
        <v>80</v>
      </c>
      <c r="AU9" s="16">
        <v>8</v>
      </c>
      <c r="AV9" s="15">
        <f t="shared" si="2"/>
        <v>264</v>
      </c>
    </row>
    <row r="10" spans="2:48" s="1" customFormat="1" x14ac:dyDescent="0.2">
      <c r="B10" s="22" t="s">
        <v>10</v>
      </c>
      <c r="C10" s="2"/>
      <c r="D10" s="5"/>
      <c r="E10" s="5"/>
      <c r="F10" s="75"/>
      <c r="G10" s="75"/>
      <c r="H10" s="5"/>
      <c r="I10" s="6">
        <v>1</v>
      </c>
      <c r="J10" s="74">
        <v>2</v>
      </c>
      <c r="K10" s="14">
        <v>3</v>
      </c>
      <c r="L10" s="14">
        <v>4</v>
      </c>
      <c r="M10" s="75">
        <v>5</v>
      </c>
      <c r="N10" s="75">
        <v>6</v>
      </c>
      <c r="O10" s="5">
        <v>7</v>
      </c>
      <c r="P10" s="5">
        <v>8</v>
      </c>
      <c r="Q10" s="5">
        <v>9</v>
      </c>
      <c r="R10" s="14">
        <v>10</v>
      </c>
      <c r="S10" s="14">
        <v>11</v>
      </c>
      <c r="T10" s="5">
        <v>12</v>
      </c>
      <c r="U10" s="5">
        <v>13</v>
      </c>
      <c r="V10" s="5">
        <v>14</v>
      </c>
      <c r="W10" s="5">
        <v>15</v>
      </c>
      <c r="X10" s="5">
        <v>16</v>
      </c>
      <c r="Y10" s="14">
        <v>17</v>
      </c>
      <c r="Z10" s="14">
        <v>18</v>
      </c>
      <c r="AA10" s="5">
        <v>19</v>
      </c>
      <c r="AB10" s="5">
        <v>20</v>
      </c>
      <c r="AC10" s="5">
        <v>21</v>
      </c>
      <c r="AD10" s="5">
        <v>22</v>
      </c>
      <c r="AE10" s="5">
        <v>23</v>
      </c>
      <c r="AF10" s="14">
        <v>24</v>
      </c>
      <c r="AG10" s="14">
        <v>25</v>
      </c>
      <c r="AH10" s="5">
        <v>26</v>
      </c>
      <c r="AI10" s="5">
        <v>27</v>
      </c>
      <c r="AJ10" s="5">
        <v>28</v>
      </c>
      <c r="AK10" s="5">
        <v>29</v>
      </c>
      <c r="AL10" s="5">
        <v>30</v>
      </c>
      <c r="AM10" s="14">
        <v>31</v>
      </c>
      <c r="AN10" s="2"/>
      <c r="AO10" s="15">
        <v>21</v>
      </c>
      <c r="AP10" s="15">
        <f t="shared" si="0"/>
        <v>168</v>
      </c>
      <c r="AQ10" s="15">
        <f t="shared" si="1"/>
        <v>336</v>
      </c>
      <c r="AR10" s="9"/>
      <c r="AS10" s="16"/>
      <c r="AT10" s="16"/>
      <c r="AU10" s="16">
        <v>8</v>
      </c>
      <c r="AV10" s="15">
        <f t="shared" si="2"/>
        <v>328</v>
      </c>
    </row>
    <row r="11" spans="2:48" s="1" customFormat="1" x14ac:dyDescent="0.2">
      <c r="B11" s="22" t="s">
        <v>11</v>
      </c>
      <c r="C11" s="2"/>
      <c r="D11" s="5"/>
      <c r="E11" s="14">
        <v>1</v>
      </c>
      <c r="F11" s="74">
        <v>2</v>
      </c>
      <c r="G11" s="75">
        <v>3</v>
      </c>
      <c r="H11" s="5">
        <v>4</v>
      </c>
      <c r="I11" s="5">
        <v>5</v>
      </c>
      <c r="J11" s="5">
        <v>6</v>
      </c>
      <c r="K11" s="14">
        <v>7</v>
      </c>
      <c r="L11" s="14">
        <v>8</v>
      </c>
      <c r="M11" s="5">
        <v>9</v>
      </c>
      <c r="N11" s="5">
        <v>10</v>
      </c>
      <c r="O11" s="5">
        <v>11</v>
      </c>
      <c r="P11" s="5">
        <v>12</v>
      </c>
      <c r="Q11" s="5">
        <v>13</v>
      </c>
      <c r="R11" s="14">
        <v>14</v>
      </c>
      <c r="S11" s="14">
        <v>15</v>
      </c>
      <c r="T11" s="6">
        <v>16</v>
      </c>
      <c r="U11" s="6">
        <v>17</v>
      </c>
      <c r="V11" s="5">
        <v>18</v>
      </c>
      <c r="W11" s="5">
        <v>19</v>
      </c>
      <c r="X11" s="5">
        <v>20</v>
      </c>
      <c r="Y11" s="14">
        <v>21</v>
      </c>
      <c r="Z11" s="14">
        <v>22</v>
      </c>
      <c r="AA11" s="5">
        <v>23</v>
      </c>
      <c r="AB11" s="5">
        <v>24</v>
      </c>
      <c r="AC11" s="5">
        <v>25</v>
      </c>
      <c r="AD11" s="5">
        <v>26</v>
      </c>
      <c r="AE11" s="5">
        <v>27</v>
      </c>
      <c r="AF11" s="14">
        <v>28</v>
      </c>
      <c r="AG11" s="5"/>
      <c r="AH11" s="5"/>
      <c r="AI11" s="5"/>
      <c r="AJ11" s="5"/>
      <c r="AK11" s="5"/>
      <c r="AL11" s="5"/>
      <c r="AM11" s="5"/>
      <c r="AN11" s="2"/>
      <c r="AO11" s="15">
        <v>18</v>
      </c>
      <c r="AP11" s="15">
        <f t="shared" si="0"/>
        <v>144</v>
      </c>
      <c r="AQ11" s="15">
        <f t="shared" si="1"/>
        <v>288</v>
      </c>
      <c r="AR11" s="9"/>
      <c r="AS11" s="16"/>
      <c r="AT11" s="16"/>
      <c r="AU11" s="16">
        <v>8</v>
      </c>
      <c r="AV11" s="15">
        <f t="shared" si="2"/>
        <v>280</v>
      </c>
    </row>
    <row r="12" spans="2:48" s="1" customFormat="1" x14ac:dyDescent="0.2">
      <c r="B12" s="22" t="s">
        <v>12</v>
      </c>
      <c r="C12" s="2"/>
      <c r="D12" s="5"/>
      <c r="E12" s="14">
        <v>1</v>
      </c>
      <c r="F12" s="5">
        <v>2</v>
      </c>
      <c r="G12" s="5">
        <v>3</v>
      </c>
      <c r="H12" s="5">
        <v>4</v>
      </c>
      <c r="I12" s="5">
        <v>5</v>
      </c>
      <c r="J12" s="5">
        <v>6</v>
      </c>
      <c r="K12" s="14">
        <v>7</v>
      </c>
      <c r="L12" s="14">
        <v>8</v>
      </c>
      <c r="M12" s="5">
        <v>9</v>
      </c>
      <c r="N12" s="5">
        <v>10</v>
      </c>
      <c r="O12" s="5">
        <v>11</v>
      </c>
      <c r="P12" s="5">
        <v>12</v>
      </c>
      <c r="Q12" s="5">
        <v>13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2"/>
      <c r="AO12" s="15">
        <v>10</v>
      </c>
      <c r="AP12" s="15">
        <f t="shared" si="0"/>
        <v>80</v>
      </c>
      <c r="AQ12" s="15">
        <f t="shared" si="1"/>
        <v>160</v>
      </c>
      <c r="AR12" s="9"/>
      <c r="AS12" s="16"/>
      <c r="AT12" s="16"/>
      <c r="AU12" s="16"/>
      <c r="AV12" s="15">
        <f t="shared" si="2"/>
        <v>160</v>
      </c>
    </row>
    <row r="13" spans="2:48" s="1" customFormat="1" ht="12.75" thickBot="1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9"/>
      <c r="AP13" s="9"/>
      <c r="AQ13" s="9"/>
      <c r="AR13" s="9"/>
      <c r="AS13" s="10"/>
      <c r="AT13" s="10"/>
      <c r="AU13" s="10"/>
      <c r="AV13" s="9"/>
    </row>
    <row r="14" spans="2:48" s="1" customFormat="1" ht="12.75" thickBot="1" x14ac:dyDescent="0.25">
      <c r="C14" s="2"/>
      <c r="D14" s="14"/>
      <c r="E14" s="64" t="s">
        <v>21</v>
      </c>
      <c r="F14" s="64"/>
      <c r="G14" s="64"/>
      <c r="H14" s="6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15">
        <f>SUM(AO7:AO13)</f>
        <v>97</v>
      </c>
      <c r="AP14" s="15">
        <f t="shared" si="0"/>
        <v>776</v>
      </c>
      <c r="AQ14" s="15">
        <f t="shared" si="1"/>
        <v>1552</v>
      </c>
      <c r="AR14" s="9"/>
      <c r="AS14" s="16">
        <f>SUM(AS7:AS12)</f>
        <v>36</v>
      </c>
      <c r="AT14" s="16">
        <f t="shared" ref="AT14:AV14" si="3">SUM(AT7:AT12)</f>
        <v>80</v>
      </c>
      <c r="AU14" s="16">
        <f t="shared" si="3"/>
        <v>24</v>
      </c>
      <c r="AV14" s="27">
        <f t="shared" si="3"/>
        <v>1412</v>
      </c>
    </row>
    <row r="15" spans="2:48" s="1" customFormat="1" x14ac:dyDescent="0.2">
      <c r="C15" s="2"/>
      <c r="D15" s="6"/>
      <c r="E15" s="64" t="s">
        <v>22</v>
      </c>
      <c r="F15" s="64"/>
      <c r="G15" s="64"/>
      <c r="H15" s="6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7"/>
      <c r="AT15" s="7"/>
      <c r="AU15" s="7"/>
      <c r="AV15" s="2"/>
    </row>
    <row r="16" spans="2:48" s="1" customFormat="1" x14ac:dyDescent="0.2">
      <c r="C16" s="2"/>
      <c r="D16" s="74"/>
      <c r="E16" s="64" t="s">
        <v>51</v>
      </c>
      <c r="F16" s="64"/>
      <c r="G16" s="64"/>
      <c r="H16" s="64"/>
      <c r="I16" s="64"/>
      <c r="J16" s="6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3:48" s="1" customFormat="1" x14ac:dyDescent="0.2">
      <c r="C17" s="2"/>
      <c r="D17" s="77"/>
      <c r="E17" s="64" t="s">
        <v>52</v>
      </c>
      <c r="F17" s="64"/>
      <c r="G17" s="64"/>
      <c r="H17" s="64"/>
      <c r="I17" s="64"/>
      <c r="J17" s="6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3:48" s="1" customFormat="1" x14ac:dyDescent="0.2">
      <c r="C18" s="2"/>
      <c r="D18" s="76"/>
      <c r="E18" s="64" t="s">
        <v>50</v>
      </c>
      <c r="F18" s="64"/>
      <c r="G18" s="64"/>
      <c r="H18" s="64"/>
      <c r="I18" s="64"/>
      <c r="J18" s="6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3:48" s="1" customFormat="1" x14ac:dyDescent="0.2">
      <c r="C19" s="2"/>
      <c r="D19" s="5"/>
      <c r="E19" s="64" t="s">
        <v>49</v>
      </c>
      <c r="F19" s="64"/>
      <c r="G19" s="64"/>
      <c r="H19" s="64"/>
      <c r="I19" s="64"/>
      <c r="J19" s="6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3:48" s="1" customFormat="1" ht="12.75" thickBot="1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3:48" s="1" customFormat="1" ht="15.75" customHeight="1" thickBot="1" x14ac:dyDescent="0.25">
      <c r="C21" s="2"/>
      <c r="D21" s="49" t="s">
        <v>30</v>
      </c>
      <c r="E21" s="50"/>
      <c r="F21" s="50"/>
      <c r="G21" s="50"/>
      <c r="H21" s="50"/>
      <c r="I21" s="50"/>
      <c r="J21" s="50"/>
      <c r="K21" s="50"/>
      <c r="L21" s="51"/>
      <c r="M21" s="28"/>
      <c r="N21" s="52" t="s">
        <v>53</v>
      </c>
      <c r="O21" s="53"/>
      <c r="P21" s="53"/>
      <c r="Q21" s="53"/>
      <c r="R21" s="54"/>
      <c r="S21" s="17"/>
      <c r="T21" s="39" t="s">
        <v>39</v>
      </c>
      <c r="U21" s="40"/>
      <c r="V21" s="40"/>
      <c r="W21" s="40"/>
      <c r="X21" s="40"/>
      <c r="Y21" s="40"/>
      <c r="Z21" s="40"/>
      <c r="AA21" s="40"/>
      <c r="AB21" s="40"/>
      <c r="AC21" s="40"/>
      <c r="AD21" s="41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3:48" s="1" customFormat="1" ht="15" customHeight="1" x14ac:dyDescent="0.2">
      <c r="C22" s="2"/>
      <c r="D22" s="65" t="s">
        <v>23</v>
      </c>
      <c r="E22" s="66"/>
      <c r="F22" s="66"/>
      <c r="G22" s="66"/>
      <c r="H22" s="66"/>
      <c r="I22" s="58" t="s">
        <v>24</v>
      </c>
      <c r="J22" s="58"/>
      <c r="K22" s="58"/>
      <c r="L22" s="59"/>
      <c r="M22" s="29"/>
      <c r="N22" s="55" t="s">
        <v>37</v>
      </c>
      <c r="O22" s="56"/>
      <c r="P22" s="56"/>
      <c r="Q22" s="56"/>
      <c r="R22" s="57"/>
      <c r="S22" s="18"/>
      <c r="T22" s="36" t="s">
        <v>40</v>
      </c>
      <c r="U22" s="37"/>
      <c r="V22" s="37"/>
      <c r="W22" s="37"/>
      <c r="X22" s="37"/>
      <c r="Y22" s="37"/>
      <c r="Z22" s="37"/>
      <c r="AA22" s="37"/>
      <c r="AB22" s="37"/>
      <c r="AC22" s="37"/>
      <c r="AD22" s="38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3:48" s="1" customFormat="1" x14ac:dyDescent="0.2">
      <c r="C23" s="2"/>
      <c r="D23" s="60" t="s">
        <v>25</v>
      </c>
      <c r="E23" s="61"/>
      <c r="F23" s="61"/>
      <c r="G23" s="61"/>
      <c r="H23" s="61"/>
      <c r="I23" s="62" t="s">
        <v>26</v>
      </c>
      <c r="J23" s="62"/>
      <c r="K23" s="62"/>
      <c r="L23" s="63"/>
      <c r="M23" s="29"/>
      <c r="N23" s="42" t="s">
        <v>38</v>
      </c>
      <c r="O23" s="43"/>
      <c r="P23" s="43"/>
      <c r="Q23" s="43"/>
      <c r="R23" s="44"/>
      <c r="S23" s="18"/>
      <c r="T23" s="33" t="s">
        <v>41</v>
      </c>
      <c r="U23" s="34"/>
      <c r="V23" s="34"/>
      <c r="W23" s="34"/>
      <c r="X23" s="34"/>
      <c r="Y23" s="34"/>
      <c r="Z23" s="34"/>
      <c r="AA23" s="34"/>
      <c r="AB23" s="34"/>
      <c r="AC23" s="34"/>
      <c r="AD23" s="35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7"/>
      <c r="AT23" s="7"/>
      <c r="AU23" s="7"/>
      <c r="AV23" s="2"/>
    </row>
    <row r="24" spans="3:48" s="1" customFormat="1" x14ac:dyDescent="0.2">
      <c r="C24" s="2"/>
      <c r="D24" s="60" t="s">
        <v>28</v>
      </c>
      <c r="E24" s="61"/>
      <c r="F24" s="61"/>
      <c r="G24" s="61"/>
      <c r="H24" s="61"/>
      <c r="I24" s="62" t="s">
        <v>27</v>
      </c>
      <c r="J24" s="62"/>
      <c r="K24" s="62"/>
      <c r="L24" s="63"/>
      <c r="M24" s="29"/>
      <c r="N24" s="42" t="s">
        <v>32</v>
      </c>
      <c r="O24" s="43"/>
      <c r="P24" s="43"/>
      <c r="Q24" s="43"/>
      <c r="R24" s="44"/>
      <c r="S24" s="18"/>
      <c r="T24" s="33" t="s">
        <v>46</v>
      </c>
      <c r="U24" s="34"/>
      <c r="V24" s="34"/>
      <c r="W24" s="34"/>
      <c r="X24" s="34"/>
      <c r="Y24" s="34"/>
      <c r="Z24" s="34"/>
      <c r="AA24" s="34"/>
      <c r="AB24" s="34"/>
      <c r="AC24" s="34"/>
      <c r="AD24" s="35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7"/>
      <c r="AT24" s="7"/>
      <c r="AU24" s="7"/>
      <c r="AV24" s="2"/>
    </row>
    <row r="25" spans="3:48" s="1" customFormat="1" ht="12.75" thickBot="1" x14ac:dyDescent="0.25">
      <c r="C25" s="2"/>
      <c r="D25" s="45" t="s">
        <v>31</v>
      </c>
      <c r="E25" s="46"/>
      <c r="F25" s="46"/>
      <c r="G25" s="46"/>
      <c r="H25" s="46"/>
      <c r="I25" s="47" t="s">
        <v>29</v>
      </c>
      <c r="J25" s="47"/>
      <c r="K25" s="47"/>
      <c r="L25" s="48"/>
      <c r="M25" s="29"/>
      <c r="N25" s="42" t="s">
        <v>47</v>
      </c>
      <c r="O25" s="43"/>
      <c r="P25" s="43"/>
      <c r="Q25" s="43"/>
      <c r="R25" s="44"/>
      <c r="S25" s="18"/>
      <c r="T25" s="33" t="s">
        <v>42</v>
      </c>
      <c r="U25" s="34"/>
      <c r="V25" s="34"/>
      <c r="W25" s="34"/>
      <c r="X25" s="34"/>
      <c r="Y25" s="34"/>
      <c r="Z25" s="34"/>
      <c r="AA25" s="34"/>
      <c r="AB25" s="34"/>
      <c r="AC25" s="34"/>
      <c r="AD25" s="35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7"/>
      <c r="AT25" s="7"/>
      <c r="AU25" s="7"/>
      <c r="AV25" s="2"/>
    </row>
    <row r="26" spans="3:48" s="1" customFormat="1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2" t="s">
        <v>33</v>
      </c>
      <c r="O26" s="43"/>
      <c r="P26" s="43"/>
      <c r="Q26" s="43"/>
      <c r="R26" s="44"/>
      <c r="S26" s="18"/>
      <c r="T26" s="33" t="s">
        <v>48</v>
      </c>
      <c r="U26" s="34"/>
      <c r="V26" s="34"/>
      <c r="W26" s="34"/>
      <c r="X26" s="34"/>
      <c r="Y26" s="34"/>
      <c r="Z26" s="34"/>
      <c r="AA26" s="34"/>
      <c r="AB26" s="34"/>
      <c r="AC26" s="34"/>
      <c r="AD26" s="35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7"/>
      <c r="AT26" s="7"/>
      <c r="AU26" s="7"/>
      <c r="AV26" s="2"/>
    </row>
    <row r="27" spans="3:48" s="1" customFormat="1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9" t="s">
        <v>34</v>
      </c>
      <c r="O27" s="20"/>
      <c r="P27" s="20"/>
      <c r="Q27" s="20"/>
      <c r="R27" s="21"/>
      <c r="S27" s="18"/>
      <c r="T27" s="33" t="s">
        <v>43</v>
      </c>
      <c r="U27" s="34"/>
      <c r="V27" s="34"/>
      <c r="W27" s="34"/>
      <c r="X27" s="34"/>
      <c r="Y27" s="34"/>
      <c r="Z27" s="34"/>
      <c r="AA27" s="34"/>
      <c r="AB27" s="34"/>
      <c r="AC27" s="34"/>
      <c r="AD27" s="35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7"/>
      <c r="AT27" s="7"/>
      <c r="AU27" s="7"/>
      <c r="AV27" s="2"/>
    </row>
    <row r="28" spans="3:48" s="1" customFormat="1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9" t="s">
        <v>35</v>
      </c>
      <c r="O28" s="20"/>
      <c r="P28" s="20"/>
      <c r="Q28" s="20"/>
      <c r="R28" s="21"/>
      <c r="S28" s="18"/>
      <c r="T28" s="33" t="s">
        <v>44</v>
      </c>
      <c r="U28" s="34"/>
      <c r="V28" s="34"/>
      <c r="W28" s="34"/>
      <c r="X28" s="34"/>
      <c r="Y28" s="34"/>
      <c r="Z28" s="34"/>
      <c r="AA28" s="34"/>
      <c r="AB28" s="34"/>
      <c r="AC28" s="34"/>
      <c r="AD28" s="35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7"/>
      <c r="AT28" s="7"/>
      <c r="AU28" s="7"/>
      <c r="AV28" s="2"/>
    </row>
    <row r="29" spans="3:48" ht="12.75" thickBot="1" x14ac:dyDescent="0.25">
      <c r="N29" s="24" t="s">
        <v>36</v>
      </c>
      <c r="O29" s="25"/>
      <c r="P29" s="25"/>
      <c r="Q29" s="25"/>
      <c r="R29" s="26"/>
      <c r="T29" s="30" t="s">
        <v>45</v>
      </c>
      <c r="U29" s="31"/>
      <c r="V29" s="31"/>
      <c r="W29" s="31"/>
      <c r="X29" s="31"/>
      <c r="Y29" s="31"/>
      <c r="Z29" s="31"/>
      <c r="AA29" s="31"/>
      <c r="AB29" s="31"/>
      <c r="AC29" s="31"/>
      <c r="AD29" s="32"/>
    </row>
    <row r="36" spans="39:39" x14ac:dyDescent="0.2">
      <c r="AM36" s="23"/>
    </row>
  </sheetData>
  <mergeCells count="34">
    <mergeCell ref="AP4:AP5"/>
    <mergeCell ref="AS4:AV4"/>
    <mergeCell ref="AQ4:AQ5"/>
    <mergeCell ref="E16:J16"/>
    <mergeCell ref="I24:L24"/>
    <mergeCell ref="E14:H14"/>
    <mergeCell ref="E15:H15"/>
    <mergeCell ref="D22:H22"/>
    <mergeCell ref="AO4:AO5"/>
    <mergeCell ref="E19:J19"/>
    <mergeCell ref="E17:J17"/>
    <mergeCell ref="E18:J18"/>
    <mergeCell ref="T22:AD22"/>
    <mergeCell ref="T23:AD23"/>
    <mergeCell ref="T21:AD21"/>
    <mergeCell ref="N26:R26"/>
    <mergeCell ref="D25:H25"/>
    <mergeCell ref="I25:L25"/>
    <mergeCell ref="D21:L21"/>
    <mergeCell ref="N21:R21"/>
    <mergeCell ref="N22:R22"/>
    <mergeCell ref="N23:R23"/>
    <mergeCell ref="N24:R24"/>
    <mergeCell ref="N25:R25"/>
    <mergeCell ref="I22:L22"/>
    <mergeCell ref="D23:H23"/>
    <mergeCell ref="I23:L23"/>
    <mergeCell ref="D24:H24"/>
    <mergeCell ref="T29:AD29"/>
    <mergeCell ref="T28:AD28"/>
    <mergeCell ref="T27:AD27"/>
    <mergeCell ref="T24:AD24"/>
    <mergeCell ref="T25:AD25"/>
    <mergeCell ref="T26:AD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Omni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Darci de Oliveira Gonçalves</dc:creator>
  <cp:lastModifiedBy>Darci de Oliveira Gonçalves</cp:lastModifiedBy>
  <dcterms:created xsi:type="dcterms:W3CDTF">2026-03-27T19:40:11Z</dcterms:created>
  <dcterms:modified xsi:type="dcterms:W3CDTF">2026-04-02T13:13:05Z</dcterms:modified>
</cp:coreProperties>
</file>